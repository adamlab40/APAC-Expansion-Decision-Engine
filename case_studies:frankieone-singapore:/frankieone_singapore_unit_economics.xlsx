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adam/Desktop/APAC Expansion Decision Engine/case_studies:frankieone-singapore:/"/>
    </mc:Choice>
  </mc:AlternateContent>
  <xr:revisionPtr revIDLastSave="0" documentId="8_{3C7B0DF5-2216-7D4E-934A-5D4A7946A422}" xr6:coauthVersionLast="47" xr6:coauthVersionMax="47" xr10:uidLastSave="{00000000-0000-0000-0000-000000000000}"/>
  <bookViews>
    <workbookView xWindow="0" yWindow="500" windowWidth="28800" windowHeight="16020" activeTab="2" xr2:uid="{00000000-000D-0000-FFFF-FFFF00000000}"/>
  </bookViews>
  <sheets>
    <sheet name="Inputs" sheetId="1" r:id="rId1"/>
    <sheet name="Unit Economics" sheetId="2" r:id="rId2"/>
    <sheet name="Customer Growth" sheetId="3" r:id="rId3"/>
    <sheet name="Revenue Model" sheetId="4" r:id="rId4"/>
    <sheet name="Sensitivit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D3" i="3" s="1"/>
  <c r="B7" i="2"/>
  <c r="B5" i="2"/>
  <c r="B17" i="1"/>
  <c r="B18" i="1" s="1"/>
  <c r="B14" i="1"/>
  <c r="B4" i="1"/>
  <c r="C3" i="5" s="1"/>
  <c r="B12" i="3" l="1"/>
  <c r="E12" i="4" s="1"/>
  <c r="B4" i="3"/>
  <c r="E4" i="4" s="1"/>
  <c r="B9" i="3"/>
  <c r="E9" i="4" s="1"/>
  <c r="B14" i="3"/>
  <c r="E14" i="4" s="1"/>
  <c r="B6" i="3"/>
  <c r="E6" i="4" s="1"/>
  <c r="B11" i="3"/>
  <c r="E11" i="4" s="1"/>
  <c r="B8" i="3"/>
  <c r="E8" i="4" s="1"/>
  <c r="B13" i="3"/>
  <c r="E13" i="4" s="1"/>
  <c r="B5" i="3"/>
  <c r="E5" i="4" s="1"/>
  <c r="B10" i="3"/>
  <c r="E10" i="4" s="1"/>
  <c r="B7" i="3"/>
  <c r="E7" i="4" s="1"/>
  <c r="B3" i="4"/>
  <c r="C3" i="4" s="1"/>
  <c r="C4" i="3"/>
  <c r="D4" i="3" s="1"/>
  <c r="D3" i="5"/>
  <c r="B4" i="5"/>
  <c r="C4" i="5"/>
  <c r="D4" i="5"/>
  <c r="E3" i="4"/>
  <c r="B5" i="5"/>
  <c r="C5" i="5"/>
  <c r="B3" i="2"/>
  <c r="B4" i="2" s="1"/>
  <c r="B6" i="2" s="1"/>
  <c r="B8" i="2" s="1"/>
  <c r="B7" i="5" s="1"/>
  <c r="B3" i="5"/>
  <c r="D5" i="5"/>
  <c r="B4" i="4" l="1"/>
  <c r="C4" i="4" s="1"/>
  <c r="D4" i="4" s="1"/>
  <c r="F4" i="4" s="1"/>
  <c r="D5" i="3"/>
  <c r="C5" i="3"/>
  <c r="E16" i="4"/>
  <c r="B9" i="2"/>
  <c r="D3" i="4"/>
  <c r="F3" i="4" l="1"/>
  <c r="C6" i="3"/>
  <c r="D6" i="3" s="1"/>
  <c r="B5" i="4"/>
  <c r="C5" i="4" s="1"/>
  <c r="B6" i="4" l="1"/>
  <c r="C6" i="4" s="1"/>
  <c r="D6" i="4" s="1"/>
  <c r="F6" i="4" s="1"/>
  <c r="C7" i="3"/>
  <c r="D7" i="3" s="1"/>
  <c r="D5" i="4"/>
  <c r="G3" i="4"/>
  <c r="G4" i="4" s="1"/>
  <c r="C8" i="3" l="1"/>
  <c r="D8" i="3" s="1"/>
  <c r="B7" i="4"/>
  <c r="C7" i="4" s="1"/>
  <c r="F5" i="4"/>
  <c r="B8" i="4" l="1"/>
  <c r="C8" i="4" s="1"/>
  <c r="D8" i="4" s="1"/>
  <c r="F8" i="4" s="1"/>
  <c r="C9" i="3"/>
  <c r="D9" i="3"/>
  <c r="G5" i="4"/>
  <c r="G6" i="4" s="1"/>
  <c r="D7" i="4"/>
  <c r="B9" i="4" l="1"/>
  <c r="C9" i="4" s="1"/>
  <c r="D10" i="3"/>
  <c r="C10" i="3"/>
  <c r="F7" i="4"/>
  <c r="C11" i="3" l="1"/>
  <c r="D11" i="3" s="1"/>
  <c r="B10" i="4"/>
  <c r="C10" i="4" s="1"/>
  <c r="D10" i="4" s="1"/>
  <c r="F10" i="4" s="1"/>
  <c r="D9" i="4"/>
  <c r="G7" i="4"/>
  <c r="G8" i="4" s="1"/>
  <c r="B11" i="4" l="1"/>
  <c r="C11" i="4" s="1"/>
  <c r="C12" i="3"/>
  <c r="D12" i="3" s="1"/>
  <c r="F9" i="4"/>
  <c r="G9" i="4" s="1"/>
  <c r="G10" i="4" s="1"/>
  <c r="B12" i="4" l="1"/>
  <c r="C12" i="4" s="1"/>
  <c r="D12" i="4" s="1"/>
  <c r="F12" i="4" s="1"/>
  <c r="C13" i="3"/>
  <c r="D13" i="3" s="1"/>
  <c r="D11" i="4"/>
  <c r="C14" i="3" l="1"/>
  <c r="D14" i="3" s="1"/>
  <c r="B13" i="4"/>
  <c r="C13" i="4" s="1"/>
  <c r="D13" i="4" s="1"/>
  <c r="F13" i="4" s="1"/>
  <c r="F11" i="4"/>
  <c r="G11" i="4" s="1"/>
  <c r="G12" i="4" s="1"/>
  <c r="G13" i="4" s="1"/>
  <c r="B14" i="4" l="1"/>
  <c r="C14" i="4" s="1"/>
  <c r="D16" i="3"/>
  <c r="D14" i="4" l="1"/>
  <c r="C16" i="4"/>
  <c r="F14" i="4" l="1"/>
  <c r="D16" i="4"/>
  <c r="F16" i="4" l="1"/>
  <c r="G14" i="4"/>
  <c r="G16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Model</author>
  </authors>
  <commentList>
    <comment ref="B5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Source: config/assumptions.yml (project model inputs)</t>
        </r>
      </text>
    </comment>
    <comment ref="B6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Source: config/assumptions.yml (project model inputs)</t>
        </r>
      </text>
    </comment>
    <comment ref="B7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Source: config/assumptions.yml (project model inputs)</t>
        </r>
      </text>
    </comment>
    <comment ref="B8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Source: config/assumptions.yml (project model inputs)</t>
        </r>
      </text>
    </comment>
    <comment ref="B9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Source: config/assumptions.yml (project model inputs)</t>
        </r>
      </text>
    </comment>
    <comment ref="B10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Source: config/assumptions.yml (project model inputs)</t>
        </r>
      </text>
    </comment>
    <comment ref="B1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Source: config/assumptions.yml (project model inputs)</t>
        </r>
      </text>
    </comment>
    <comment ref="B12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Source: config/assumptions.yml (project model inputs)</t>
        </r>
      </text>
    </comment>
    <comment ref="B13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Source: config/assumptions.yml (project model inputs)</t>
        </r>
      </text>
    </comment>
  </commentList>
</comments>
</file>

<file path=xl/sharedStrings.xml><?xml version="1.0" encoding="utf-8"?>
<sst xmlns="http://schemas.openxmlformats.org/spreadsheetml/2006/main" count="108" uniqueCount="76">
  <si>
    <t>FrankieOne — Singapore Unit Economics Model (Inputs)</t>
  </si>
  <si>
    <t>Variable</t>
  </si>
  <si>
    <t>Value</t>
  </si>
  <si>
    <t>Unit</t>
  </si>
  <si>
    <t>Notes / Source</t>
  </si>
  <si>
    <t>ACV</t>
  </si>
  <si>
    <t>USD/year</t>
  </si>
  <si>
    <t>Fixed single-tier contract value (case study assumption)</t>
  </si>
  <si>
    <t>MRR</t>
  </si>
  <si>
    <t>USD/month</t>
  </si>
  <si>
    <t>Derived: ACV / 12</t>
  </si>
  <si>
    <t>Gross margin</t>
  </si>
  <si>
    <t>%</t>
  </si>
  <si>
    <t>From assumptions.yml</t>
  </si>
  <si>
    <t>CAC</t>
  </si>
  <si>
    <t>USD</t>
  </si>
  <si>
    <t>Monthly churn</t>
  </si>
  <si>
    <t>Sales cycle</t>
  </si>
  <si>
    <t>months</t>
  </si>
  <si>
    <t>Market entry cost</t>
  </si>
  <si>
    <t>Monthly operating cost</t>
  </si>
  <si>
    <t>Leads per month</t>
  </si>
  <si>
    <t>count</t>
  </si>
  <si>
    <t>Lead =&gt; Opportunity</t>
  </si>
  <si>
    <t>Opportunity =&gt; Win</t>
  </si>
  <si>
    <t>Wins per month</t>
  </si>
  <si>
    <t>Baseline wins/month using repo INT logic (before market adjustment)</t>
  </si>
  <si>
    <t>Sales cycle (months)</t>
  </si>
  <si>
    <t>From repo funnel.sales_cycle_months</t>
  </si>
  <si>
    <t>Market adjustment (Singapore)</t>
  </si>
  <si>
    <t>multiplier</t>
  </si>
  <si>
    <t>Dashboard: (total_score+3)/6 clipped; SG total_score=0.6485478929</t>
  </si>
  <si>
    <t>Leads per month (adjusted)</t>
  </si>
  <si>
    <t>int(base_leads × market_adjustment)</t>
  </si>
  <si>
    <t>Wins per month (adjusted)</t>
  </si>
  <si>
    <t>Repo INT truncation logic with adjusted leads</t>
  </si>
  <si>
    <t>Unit Economics (Single Customer)</t>
  </si>
  <si>
    <t>Metric</t>
  </si>
  <si>
    <t>Formula / Explanation</t>
  </si>
  <si>
    <t>Flat ACV / 12</t>
  </si>
  <si>
    <t>Gross profit per month</t>
  </si>
  <si>
    <t>MRR × Gross margin</t>
  </si>
  <si>
    <t>LTV (months)</t>
  </si>
  <si>
    <t>1 / monthly churn</t>
  </si>
  <si>
    <t>LTV (gross profit)</t>
  </si>
  <si>
    <t>Gross profit/month × LTV months</t>
  </si>
  <si>
    <t>Customer acquisition cost</t>
  </si>
  <si>
    <t>LTV:CAC</t>
  </si>
  <si>
    <t>x</t>
  </si>
  <si>
    <t>LTV (gross profit) / CAC</t>
  </si>
  <si>
    <t>CAC payback (months)</t>
  </si>
  <si>
    <t>CAC / gross profit per month</t>
  </si>
  <si>
    <t>Customer Growth (12 Months)</t>
  </si>
  <si>
    <t>Month</t>
  </si>
  <si>
    <t>New customers</t>
  </si>
  <si>
    <t>Churned customers</t>
  </si>
  <si>
    <t>Active customers</t>
  </si>
  <si>
    <t>Notes</t>
  </si>
  <si>
    <t>Target (Month 12)</t>
  </si>
  <si>
    <t>Revenue Model (12 Months)</t>
  </si>
  <si>
    <t>Revenue (monthly)</t>
  </si>
  <si>
    <t>Gross revenue (monthly)</t>
  </si>
  <si>
    <t>Acquisition cost (monthly)</t>
  </si>
  <si>
    <t>Net revenue (monthly)</t>
  </si>
  <si>
    <t>Cumulative net revenue</t>
  </si>
  <si>
    <t>Totals (12m)</t>
  </si>
  <si>
    <t>Sensitivity (LTV:CAC)</t>
  </si>
  <si>
    <t>Churn 1.0%</t>
  </si>
  <si>
    <t>Churn 1.8%</t>
  </si>
  <si>
    <t>Churn 3.0%</t>
  </si>
  <si>
    <t>CAC $10,000</t>
  </si>
  <si>
    <t>Higher is better</t>
  </si>
  <si>
    <t>CAC $14,000</t>
  </si>
  <si>
    <t>CAC $18,000</t>
  </si>
  <si>
    <t>Base case</t>
  </si>
  <si>
    <r>
      <t xml:space="preserve">Churned customers display as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in the first 12 months because the model applies </t>
    </r>
    <r>
      <rPr>
        <b/>
        <sz val="11"/>
        <color theme="1"/>
        <rFont val="Calibri"/>
        <family val="2"/>
        <scheme val="minor"/>
      </rPr>
      <t>integer truncation</t>
    </r>
    <r>
      <rPr>
        <sz val="11"/>
        <color theme="1"/>
        <rFont val="Calibri"/>
        <family val="2"/>
        <scheme val="minor"/>
      </rPr>
      <t xml:space="preserve">: </t>
    </r>
    <r>
      <rPr>
        <sz val="10"/>
        <color theme="1"/>
        <rFont val="Arial Unicode MS"/>
        <family val="2"/>
      </rPr>
      <t>churned = INT(active × 1.8%)</t>
    </r>
    <r>
      <rPr>
        <sz val="11"/>
        <color theme="1"/>
        <rFont val="Calibri"/>
        <family val="2"/>
        <scheme val="minor"/>
      </rPr>
      <t xml:space="preserve">. With active customers below ~56, </t>
    </r>
    <r>
      <rPr>
        <sz val="10"/>
        <color theme="1"/>
        <rFont val="Arial Unicode MS"/>
        <family val="2"/>
      </rPr>
      <t>INT(active × 0.018)</t>
    </r>
    <r>
      <rPr>
        <sz val="11"/>
        <color theme="1"/>
        <rFont val="Calibri"/>
        <family val="2"/>
        <scheme val="minor"/>
      </rPr>
      <t xml:space="preserve"> remains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</si>
</sst>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_);[Red]\(\$#,##0\);&quot;-&quot;_);_(@_)"/>
    <numFmt numFmtId="165" formatCode="0.0%"/>
    <numFmt numFmtId="166" formatCode="0.0"/>
    <numFmt numFmtId="167" formatCode="0.0&quot;x&quot;"/>
  </numFmts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name val="Calibri"/>
      <family val="2"/>
    </font>
    <font>
      <sz val="11"/>
      <color rgb="FF0000FF"/>
      <name val="Calibri"/>
      <family val="2"/>
    </font>
    <font>
      <sz val="11"/>
      <color rgb="FF000000"/>
      <name val="Calibri"/>
      <family val="2"/>
    </font>
    <font>
      <i/>
      <sz val="9"/>
      <color rgb="FF666666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</borders>
  <cellStyleXfs count="1">
    <xf numFmtId="0" fontId="0" fillId="0" borderId="2"/>
  </cellStyleXfs>
  <cellXfs count="29">
    <xf numFmtId="0" fontId="0" fillId="0" borderId="0" xfId="0" applyBorder="1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right" vertical="center"/>
    </xf>
    <xf numFmtId="0" fontId="0" fillId="0" borderId="1" xfId="0" applyBorder="1" applyAlignment="1">
      <alignment vertical="top" wrapText="1"/>
    </xf>
    <xf numFmtId="164" fontId="4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right" vertical="center"/>
    </xf>
    <xf numFmtId="1" fontId="3" fillId="0" borderId="1" xfId="0" applyNumberFormat="1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6" fontId="0" fillId="0" borderId="1" xfId="0" applyNumberForma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167" fontId="2" fillId="0" borderId="1" xfId="0" applyNumberFormat="1" applyFont="1" applyBorder="1" applyAlignment="1">
      <alignment horizontal="right" vertical="center"/>
    </xf>
    <xf numFmtId="166" fontId="2" fillId="0" borderId="1" xfId="0" applyNumberFormat="1" applyFont="1" applyBorder="1" applyAlignment="1">
      <alignment horizontal="right" vertical="center"/>
    </xf>
    <xf numFmtId="1" fontId="0" fillId="0" borderId="1" xfId="0" applyNumberFormat="1" applyBorder="1" applyAlignment="1">
      <alignment horizontal="center" vertical="center" wrapText="1"/>
    </xf>
    <xf numFmtId="2" fontId="0" fillId="0" borderId="1" xfId="0" applyNumberFormat="1" applyBorder="1" applyAlignment="1">
      <alignment horizontal="right" vertical="center"/>
    </xf>
    <xf numFmtId="0" fontId="0" fillId="0" borderId="1" xfId="0" applyBorder="1"/>
    <xf numFmtId="0" fontId="2" fillId="0" borderId="1" xfId="0" applyFont="1" applyBorder="1"/>
    <xf numFmtId="2" fontId="2" fillId="0" borderId="1" xfId="0" applyNumberFormat="1" applyFont="1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167" fontId="0" fillId="0" borderId="1" xfId="0" applyNumberFormat="1" applyBorder="1" applyAlignment="1">
      <alignment horizontal="center" vertical="center" wrapText="1"/>
    </xf>
    <xf numFmtId="0" fontId="0" fillId="0" borderId="2" xfId="0"/>
    <xf numFmtId="0" fontId="5" fillId="0" borderId="0" xfId="0" applyFont="1" applyBorder="1" applyAlignment="1">
      <alignment horizontal="left" vertical="center" wrapText="1"/>
    </xf>
    <xf numFmtId="167" fontId="2" fillId="0" borderId="1" xfId="0" applyNumberFormat="1" applyFont="1" applyBorder="1"/>
    <xf numFmtId="0" fontId="1" fillId="2" borderId="2" xfId="0" applyFont="1" applyFill="1" applyAlignment="1">
      <alignment horizontal="left" vertic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showGridLines="0" workbookViewId="0">
      <selection activeCell="A19" sqref="A19"/>
    </sheetView>
  </sheetViews>
  <sheetFormatPr baseColWidth="10" defaultColWidth="8.83203125" defaultRowHeight="15" x14ac:dyDescent="0.2"/>
  <cols>
    <col min="1" max="1" width="28" customWidth="1"/>
    <col min="2" max="2" width="16" customWidth="1"/>
    <col min="3" max="3" width="14" customWidth="1"/>
    <col min="4" max="4" width="60" customWidth="1"/>
  </cols>
  <sheetData>
    <row r="1" spans="1:4" ht="28" customHeight="1" x14ac:dyDescent="0.2">
      <c r="A1" s="27" t="s">
        <v>0</v>
      </c>
      <c r="B1" s="28"/>
      <c r="C1" s="28"/>
      <c r="D1" s="28"/>
    </row>
    <row r="2" spans="1:4" ht="20" customHeight="1" x14ac:dyDescent="0.2">
      <c r="A2" s="1" t="s">
        <v>1</v>
      </c>
      <c r="B2" s="1" t="s">
        <v>2</v>
      </c>
      <c r="C2" s="1" t="s">
        <v>3</v>
      </c>
      <c r="D2" s="1" t="s">
        <v>4</v>
      </c>
    </row>
    <row r="3" spans="1:4" ht="16" customHeight="1" x14ac:dyDescent="0.2">
      <c r="A3" s="2" t="s">
        <v>5</v>
      </c>
      <c r="B3" s="3">
        <v>18000</v>
      </c>
      <c r="C3" s="2" t="s">
        <v>6</v>
      </c>
      <c r="D3" s="4" t="s">
        <v>7</v>
      </c>
    </row>
    <row r="4" spans="1:4" ht="16" customHeight="1" x14ac:dyDescent="0.2">
      <c r="A4" s="2" t="s">
        <v>8</v>
      </c>
      <c r="B4" s="5">
        <f>B3/12</f>
        <v>1500</v>
      </c>
      <c r="C4" s="2" t="s">
        <v>9</v>
      </c>
      <c r="D4" s="4" t="s">
        <v>10</v>
      </c>
    </row>
    <row r="5" spans="1:4" ht="16" customHeight="1" x14ac:dyDescent="0.2">
      <c r="A5" s="2" t="s">
        <v>11</v>
      </c>
      <c r="B5" s="6">
        <v>0.82</v>
      </c>
      <c r="C5" s="2" t="s">
        <v>12</v>
      </c>
      <c r="D5" s="4" t="s">
        <v>13</v>
      </c>
    </row>
    <row r="6" spans="1:4" ht="16" customHeight="1" x14ac:dyDescent="0.2">
      <c r="A6" s="2" t="s">
        <v>14</v>
      </c>
      <c r="B6" s="3">
        <v>14000</v>
      </c>
      <c r="C6" s="2" t="s">
        <v>15</v>
      </c>
      <c r="D6" s="4" t="s">
        <v>13</v>
      </c>
    </row>
    <row r="7" spans="1:4" ht="16" customHeight="1" x14ac:dyDescent="0.2">
      <c r="A7" s="2" t="s">
        <v>16</v>
      </c>
      <c r="B7" s="6">
        <v>1.7999999999999999E-2</v>
      </c>
      <c r="C7" s="2" t="s">
        <v>12</v>
      </c>
      <c r="D7" s="4" t="s">
        <v>13</v>
      </c>
    </row>
    <row r="8" spans="1:4" ht="16" customHeight="1" x14ac:dyDescent="0.2">
      <c r="A8" s="2" t="s">
        <v>17</v>
      </c>
      <c r="B8" s="7">
        <v>2</v>
      </c>
      <c r="C8" s="2" t="s">
        <v>18</v>
      </c>
      <c r="D8" s="4" t="s">
        <v>13</v>
      </c>
    </row>
    <row r="9" spans="1:4" ht="16" customHeight="1" x14ac:dyDescent="0.2">
      <c r="A9" s="2" t="s">
        <v>19</v>
      </c>
      <c r="B9" s="3">
        <v>500000</v>
      </c>
      <c r="C9" s="2" t="s">
        <v>15</v>
      </c>
      <c r="D9" s="4" t="s">
        <v>13</v>
      </c>
    </row>
    <row r="10" spans="1:4" ht="16" customHeight="1" x14ac:dyDescent="0.2">
      <c r="A10" s="2" t="s">
        <v>20</v>
      </c>
      <c r="B10" s="3">
        <v>25000</v>
      </c>
      <c r="C10" s="2" t="s">
        <v>15</v>
      </c>
      <c r="D10" s="4" t="s">
        <v>13</v>
      </c>
    </row>
    <row r="11" spans="1:4" ht="16" customHeight="1" x14ac:dyDescent="0.2">
      <c r="A11" s="2" t="s">
        <v>21</v>
      </c>
      <c r="B11" s="8">
        <v>120</v>
      </c>
      <c r="C11" s="2" t="s">
        <v>22</v>
      </c>
      <c r="D11" s="4" t="s">
        <v>13</v>
      </c>
    </row>
    <row r="12" spans="1:4" ht="16" customHeight="1" x14ac:dyDescent="0.2">
      <c r="A12" s="2" t="s">
        <v>23</v>
      </c>
      <c r="B12" s="6">
        <v>0.18</v>
      </c>
      <c r="C12" s="2" t="s">
        <v>12</v>
      </c>
      <c r="D12" s="4" t="s">
        <v>13</v>
      </c>
    </row>
    <row r="13" spans="1:4" ht="16" customHeight="1" x14ac:dyDescent="0.2">
      <c r="A13" s="2" t="s">
        <v>24</v>
      </c>
      <c r="B13" s="6">
        <v>0.22</v>
      </c>
      <c r="C13" s="2" t="s">
        <v>12</v>
      </c>
      <c r="D13" s="4" t="s">
        <v>13</v>
      </c>
    </row>
    <row r="14" spans="1:4" ht="16" customHeight="1" x14ac:dyDescent="0.2">
      <c r="A14" s="2" t="s">
        <v>25</v>
      </c>
      <c r="B14" s="9">
        <f>INT(INT(B11*B12)*B13)</f>
        <v>4</v>
      </c>
      <c r="C14" s="2" t="s">
        <v>22</v>
      </c>
      <c r="D14" s="4" t="s">
        <v>26</v>
      </c>
    </row>
    <row r="15" spans="1:4" x14ac:dyDescent="0.2">
      <c r="A15" t="s">
        <v>27</v>
      </c>
      <c r="B15">
        <v>2</v>
      </c>
      <c r="C15" t="s">
        <v>18</v>
      </c>
      <c r="D15" t="s">
        <v>28</v>
      </c>
    </row>
    <row r="16" spans="1:4" x14ac:dyDescent="0.2">
      <c r="A16" t="s">
        <v>29</v>
      </c>
      <c r="B16">
        <v>0.60809999999999997</v>
      </c>
      <c r="C16" t="s">
        <v>30</v>
      </c>
      <c r="D16" t="s">
        <v>31</v>
      </c>
    </row>
    <row r="17" spans="1:4" x14ac:dyDescent="0.2">
      <c r="A17" t="s">
        <v>32</v>
      </c>
      <c r="B17">
        <f>INT(B11*B16)</f>
        <v>72</v>
      </c>
      <c r="C17" t="s">
        <v>22</v>
      </c>
      <c r="D17" t="s">
        <v>33</v>
      </c>
    </row>
    <row r="18" spans="1:4" x14ac:dyDescent="0.2">
      <c r="A18" t="s">
        <v>34</v>
      </c>
      <c r="B18">
        <f>INT(INT(B17*B12)*B13)</f>
        <v>2</v>
      </c>
      <c r="C18" t="s">
        <v>22</v>
      </c>
      <c r="D18" t="s">
        <v>35</v>
      </c>
    </row>
  </sheetData>
  <mergeCells count="1">
    <mergeCell ref="A1:D1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showGridLines="0" workbookViewId="0">
      <selection sqref="A1:D1"/>
    </sheetView>
  </sheetViews>
  <sheetFormatPr baseColWidth="10" defaultColWidth="8.83203125" defaultRowHeight="15" x14ac:dyDescent="0.2"/>
  <cols>
    <col min="1" max="1" width="30" customWidth="1"/>
    <col min="2" max="2" width="18" customWidth="1"/>
    <col min="3" max="3" width="12" customWidth="1"/>
    <col min="4" max="4" width="55" customWidth="1"/>
  </cols>
  <sheetData>
    <row r="1" spans="1:4" ht="28" customHeight="1" x14ac:dyDescent="0.2">
      <c r="A1" s="27" t="s">
        <v>36</v>
      </c>
      <c r="B1" s="28"/>
      <c r="C1" s="28"/>
      <c r="D1" s="28"/>
    </row>
    <row r="2" spans="1:4" ht="20" customHeight="1" x14ac:dyDescent="0.2">
      <c r="A2" s="1" t="s">
        <v>37</v>
      </c>
      <c r="B2" s="1" t="s">
        <v>2</v>
      </c>
      <c r="C2" s="1" t="s">
        <v>3</v>
      </c>
      <c r="D2" s="1" t="s">
        <v>38</v>
      </c>
    </row>
    <row r="3" spans="1:4" ht="16" customHeight="1" x14ac:dyDescent="0.2">
      <c r="A3" s="2" t="s">
        <v>8</v>
      </c>
      <c r="B3" s="10">
        <f>Inputs!B4</f>
        <v>1500</v>
      </c>
      <c r="C3" s="2" t="s">
        <v>9</v>
      </c>
      <c r="D3" s="4" t="s">
        <v>39</v>
      </c>
    </row>
    <row r="4" spans="1:4" ht="16" customHeight="1" x14ac:dyDescent="0.2">
      <c r="A4" s="2" t="s">
        <v>40</v>
      </c>
      <c r="B4" s="10">
        <f>B3*Inputs!B5</f>
        <v>1230</v>
      </c>
      <c r="C4" s="2" t="s">
        <v>9</v>
      </c>
      <c r="D4" s="4" t="s">
        <v>41</v>
      </c>
    </row>
    <row r="5" spans="1:4" ht="16" customHeight="1" x14ac:dyDescent="0.2">
      <c r="A5" s="2" t="s">
        <v>42</v>
      </c>
      <c r="B5" s="11">
        <f>1/Inputs!B7</f>
        <v>55.555555555555557</v>
      </c>
      <c r="C5" s="2" t="s">
        <v>18</v>
      </c>
      <c r="D5" s="4" t="s">
        <v>43</v>
      </c>
    </row>
    <row r="6" spans="1:4" ht="16" customHeight="1" x14ac:dyDescent="0.2">
      <c r="A6" s="2" t="s">
        <v>44</v>
      </c>
      <c r="B6" s="10">
        <f>B4*B5</f>
        <v>68333.333333333328</v>
      </c>
      <c r="C6" s="2" t="s">
        <v>15</v>
      </c>
      <c r="D6" s="4" t="s">
        <v>45</v>
      </c>
    </row>
    <row r="7" spans="1:4" ht="16" customHeight="1" x14ac:dyDescent="0.2">
      <c r="A7" s="2" t="s">
        <v>14</v>
      </c>
      <c r="B7" s="10">
        <f>Inputs!B6</f>
        <v>14000</v>
      </c>
      <c r="C7" s="2" t="s">
        <v>15</v>
      </c>
      <c r="D7" s="4" t="s">
        <v>46</v>
      </c>
    </row>
    <row r="8" spans="1:4" ht="16" customHeight="1" x14ac:dyDescent="0.2">
      <c r="A8" s="12" t="s">
        <v>47</v>
      </c>
      <c r="B8" s="13">
        <f>B6/B7</f>
        <v>4.8809523809523805</v>
      </c>
      <c r="C8" s="2" t="s">
        <v>48</v>
      </c>
      <c r="D8" s="4" t="s">
        <v>49</v>
      </c>
    </row>
    <row r="9" spans="1:4" ht="16" customHeight="1" x14ac:dyDescent="0.2">
      <c r="A9" s="12" t="s">
        <v>50</v>
      </c>
      <c r="B9" s="14">
        <f>B7/B4</f>
        <v>11.382113821138212</v>
      </c>
      <c r="C9" s="2" t="s">
        <v>18</v>
      </c>
      <c r="D9" s="4" t="s">
        <v>51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"/>
  <sheetViews>
    <sheetView showGridLines="0" tabSelected="1" workbookViewId="0">
      <selection activeCell="I6" sqref="I6"/>
    </sheetView>
  </sheetViews>
  <sheetFormatPr baseColWidth="10" defaultColWidth="8.83203125" defaultRowHeight="15" x14ac:dyDescent="0.2"/>
  <cols>
    <col min="1" max="1" width="10" customWidth="1"/>
    <col min="2" max="2" width="18" customWidth="1"/>
    <col min="3" max="3" width="20" customWidth="1"/>
    <col min="4" max="4" width="18" customWidth="1"/>
    <col min="5" max="5" width="32" customWidth="1"/>
  </cols>
  <sheetData>
    <row r="1" spans="1:5" ht="28" customHeight="1" x14ac:dyDescent="0.2">
      <c r="A1" s="27" t="s">
        <v>52</v>
      </c>
      <c r="B1" s="28"/>
      <c r="C1" s="28"/>
      <c r="D1" s="28"/>
      <c r="E1" s="28"/>
    </row>
    <row r="2" spans="1:5" ht="20" customHeight="1" x14ac:dyDescent="0.2">
      <c r="A2" s="1" t="s">
        <v>53</v>
      </c>
      <c r="B2" s="1" t="s">
        <v>54</v>
      </c>
      <c r="C2" s="1" t="s">
        <v>55</v>
      </c>
      <c r="D2" s="1" t="s">
        <v>56</v>
      </c>
      <c r="E2" s="1" t="s">
        <v>57</v>
      </c>
    </row>
    <row r="3" spans="1:5" ht="16" x14ac:dyDescent="0.25">
      <c r="A3" s="15">
        <v>1</v>
      </c>
      <c r="B3" s="16">
        <f>IF(VALUE(A3)&lt;Inputs!$B$15,0,Inputs!$B$18)</f>
        <v>0</v>
      </c>
      <c r="C3" s="16">
        <v>0</v>
      </c>
      <c r="D3" s="16">
        <f>B3</f>
        <v>0</v>
      </c>
      <c r="E3" t="s">
        <v>75</v>
      </c>
    </row>
    <row r="4" spans="1:5" x14ac:dyDescent="0.2">
      <c r="A4" s="15">
        <v>2</v>
      </c>
      <c r="B4" s="16">
        <f>IF(VALUE(A4)&lt;Inputs!$B$15,0,Inputs!$B$18)</f>
        <v>2</v>
      </c>
      <c r="C4" s="16">
        <f>INT(D3*Inputs!$B$7)</f>
        <v>0</v>
      </c>
      <c r="D4" s="16">
        <f t="shared" ref="D4:D14" si="0">MAX(0,D3-C4+B4)</f>
        <v>2</v>
      </c>
      <c r="E4" s="17"/>
    </row>
    <row r="5" spans="1:5" x14ac:dyDescent="0.2">
      <c r="A5" s="15">
        <v>3</v>
      </c>
      <c r="B5" s="16">
        <f>IF(VALUE(A5)&lt;Inputs!$B$15,0,Inputs!$B$18)</f>
        <v>2</v>
      </c>
      <c r="C5" s="16">
        <f>INT(D4*Inputs!$B$7)</f>
        <v>0</v>
      </c>
      <c r="D5" s="16">
        <f t="shared" si="0"/>
        <v>4</v>
      </c>
      <c r="E5" s="17"/>
    </row>
    <row r="6" spans="1:5" x14ac:dyDescent="0.2">
      <c r="A6" s="15">
        <v>4</v>
      </c>
      <c r="B6" s="16">
        <f>IF(VALUE(A6)&lt;Inputs!$B$15,0,Inputs!$B$18)</f>
        <v>2</v>
      </c>
      <c r="C6" s="16">
        <f>INT(D5*Inputs!$B$7)</f>
        <v>0</v>
      </c>
      <c r="D6" s="16">
        <f t="shared" si="0"/>
        <v>6</v>
      </c>
      <c r="E6" s="17"/>
    </row>
    <row r="7" spans="1:5" x14ac:dyDescent="0.2">
      <c r="A7" s="15">
        <v>5</v>
      </c>
      <c r="B7" s="16">
        <f>IF(VALUE(A7)&lt;Inputs!$B$15,0,Inputs!$B$18)</f>
        <v>2</v>
      </c>
      <c r="C7" s="16">
        <f>INT(D6*Inputs!$B$7)</f>
        <v>0</v>
      </c>
      <c r="D7" s="16">
        <f t="shared" si="0"/>
        <v>8</v>
      </c>
      <c r="E7" s="17"/>
    </row>
    <row r="8" spans="1:5" x14ac:dyDescent="0.2">
      <c r="A8" s="15">
        <v>6</v>
      </c>
      <c r="B8" s="16">
        <f>IF(VALUE(A8)&lt;Inputs!$B$15,0,Inputs!$B$18)</f>
        <v>2</v>
      </c>
      <c r="C8" s="16">
        <f>INT(D7*Inputs!$B$7)</f>
        <v>0</v>
      </c>
      <c r="D8" s="16">
        <f t="shared" si="0"/>
        <v>10</v>
      </c>
      <c r="E8" s="17"/>
    </row>
    <row r="9" spans="1:5" x14ac:dyDescent="0.2">
      <c r="A9" s="15">
        <v>7</v>
      </c>
      <c r="B9" s="16">
        <f>IF(VALUE(A9)&lt;Inputs!$B$15,0,Inputs!$B$18)</f>
        <v>2</v>
      </c>
      <c r="C9" s="16">
        <f>INT(D8*Inputs!$B$7)</f>
        <v>0</v>
      </c>
      <c r="D9" s="16">
        <f t="shared" si="0"/>
        <v>12</v>
      </c>
      <c r="E9" s="17"/>
    </row>
    <row r="10" spans="1:5" x14ac:dyDescent="0.2">
      <c r="A10" s="15">
        <v>8</v>
      </c>
      <c r="B10" s="16">
        <f>IF(VALUE(A10)&lt;Inputs!$B$15,0,Inputs!$B$18)</f>
        <v>2</v>
      </c>
      <c r="C10" s="16">
        <f>INT(D9*Inputs!$B$7)</f>
        <v>0</v>
      </c>
      <c r="D10" s="16">
        <f t="shared" si="0"/>
        <v>14</v>
      </c>
      <c r="E10" s="17"/>
    </row>
    <row r="11" spans="1:5" x14ac:dyDescent="0.2">
      <c r="A11" s="15">
        <v>9</v>
      </c>
      <c r="B11" s="16">
        <f>IF(VALUE(A11)&lt;Inputs!$B$15,0,Inputs!$B$18)</f>
        <v>2</v>
      </c>
      <c r="C11" s="16">
        <f>INT(D10*Inputs!$B$7)</f>
        <v>0</v>
      </c>
      <c r="D11" s="16">
        <f t="shared" si="0"/>
        <v>16</v>
      </c>
      <c r="E11" s="17"/>
    </row>
    <row r="12" spans="1:5" x14ac:dyDescent="0.2">
      <c r="A12" s="15">
        <v>10</v>
      </c>
      <c r="B12" s="16">
        <f>IF(VALUE(A12)&lt;Inputs!$B$15,0,Inputs!$B$18)</f>
        <v>2</v>
      </c>
      <c r="C12" s="16">
        <f>INT(D11*Inputs!$B$7)</f>
        <v>0</v>
      </c>
      <c r="D12" s="16">
        <f t="shared" si="0"/>
        <v>18</v>
      </c>
      <c r="E12" s="17"/>
    </row>
    <row r="13" spans="1:5" x14ac:dyDescent="0.2">
      <c r="A13" s="15">
        <v>11</v>
      </c>
      <c r="B13" s="16">
        <f>IF(VALUE(A13)&lt;Inputs!$B$15,0,Inputs!$B$18)</f>
        <v>2</v>
      </c>
      <c r="C13" s="16">
        <f>INT(D12*Inputs!$B$7)</f>
        <v>0</v>
      </c>
      <c r="D13" s="16">
        <f t="shared" si="0"/>
        <v>20</v>
      </c>
      <c r="E13" s="17"/>
    </row>
    <row r="14" spans="1:5" x14ac:dyDescent="0.2">
      <c r="A14" s="15">
        <v>12</v>
      </c>
      <c r="B14" s="16">
        <f>IF(VALUE(A14)&lt;Inputs!$B$15,0,Inputs!$B$18)</f>
        <v>2</v>
      </c>
      <c r="C14" s="16">
        <f>INT(D13*Inputs!$B$7)</f>
        <v>0</v>
      </c>
      <c r="D14" s="16">
        <f t="shared" si="0"/>
        <v>22</v>
      </c>
      <c r="E14" s="17"/>
    </row>
    <row r="16" spans="1:5" ht="18" customHeight="1" x14ac:dyDescent="0.2">
      <c r="A16" s="18" t="s">
        <v>58</v>
      </c>
      <c r="B16" s="17"/>
      <c r="C16" s="17"/>
      <c r="D16" s="19">
        <f>D14</f>
        <v>22</v>
      </c>
      <c r="E16" s="17"/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6"/>
  <sheetViews>
    <sheetView showGridLines="0" workbookViewId="0">
      <selection sqref="A1:G1"/>
    </sheetView>
  </sheetViews>
  <sheetFormatPr baseColWidth="10" defaultColWidth="8.83203125" defaultRowHeight="15" x14ac:dyDescent="0.2"/>
  <cols>
    <col min="1" max="1" width="10" customWidth="1"/>
    <col min="2" max="2" width="18" customWidth="1"/>
    <col min="3" max="3" width="14" customWidth="1"/>
    <col min="4" max="4" width="18" customWidth="1"/>
    <col min="5" max="5" width="20" customWidth="1"/>
    <col min="6" max="6" width="14" customWidth="1"/>
    <col min="7" max="7" width="22" customWidth="1"/>
  </cols>
  <sheetData>
    <row r="1" spans="1:7" ht="28" customHeight="1" x14ac:dyDescent="0.2">
      <c r="A1" s="27" t="s">
        <v>59</v>
      </c>
      <c r="B1" s="28"/>
      <c r="C1" s="28"/>
      <c r="D1" s="28"/>
      <c r="E1" s="28"/>
      <c r="F1" s="28"/>
      <c r="G1" s="28"/>
    </row>
    <row r="2" spans="1:7" ht="24" customHeight="1" x14ac:dyDescent="0.2">
      <c r="A2" s="1" t="s">
        <v>53</v>
      </c>
      <c r="B2" s="1" t="s">
        <v>56</v>
      </c>
      <c r="C2" s="1" t="s">
        <v>60</v>
      </c>
      <c r="D2" s="1" t="s">
        <v>61</v>
      </c>
      <c r="E2" s="1" t="s">
        <v>62</v>
      </c>
      <c r="F2" s="1" t="s">
        <v>63</v>
      </c>
      <c r="G2" s="1" t="s">
        <v>64</v>
      </c>
    </row>
    <row r="3" spans="1:7" x14ac:dyDescent="0.2">
      <c r="A3" s="20">
        <v>1</v>
      </c>
      <c r="B3" s="16">
        <f>'Customer Growth'!D3</f>
        <v>0</v>
      </c>
      <c r="C3" s="10">
        <f>B3*Inputs!$B$4</f>
        <v>0</v>
      </c>
      <c r="D3" s="10">
        <f>C3*Inputs!$B$5</f>
        <v>0</v>
      </c>
      <c r="E3" s="10">
        <f>'Customer Growth'!B3*Inputs!$B$6</f>
        <v>0</v>
      </c>
      <c r="F3" s="10">
        <f t="shared" ref="F3:F14" si="0">D3-E3</f>
        <v>0</v>
      </c>
      <c r="G3" s="10">
        <f>F3</f>
        <v>0</v>
      </c>
    </row>
    <row r="4" spans="1:7" x14ac:dyDescent="0.2">
      <c r="A4" s="20">
        <v>2</v>
      </c>
      <c r="B4" s="16">
        <f>'Customer Growth'!D4</f>
        <v>2</v>
      </c>
      <c r="C4" s="10">
        <f>B4*Inputs!$B$4</f>
        <v>3000</v>
      </c>
      <c r="D4" s="10">
        <f>C4*Inputs!$B$5</f>
        <v>2460</v>
      </c>
      <c r="E4" s="10">
        <f>'Customer Growth'!B4*Inputs!$B$6</f>
        <v>28000</v>
      </c>
      <c r="F4" s="10">
        <f t="shared" si="0"/>
        <v>-25540</v>
      </c>
      <c r="G4" s="10">
        <f t="shared" ref="G4:G14" si="1">G3+F4</f>
        <v>-25540</v>
      </c>
    </row>
    <row r="5" spans="1:7" x14ac:dyDescent="0.2">
      <c r="A5" s="20">
        <v>3</v>
      </c>
      <c r="B5" s="16">
        <f>'Customer Growth'!D5</f>
        <v>4</v>
      </c>
      <c r="C5" s="10">
        <f>B5*Inputs!$B$4</f>
        <v>6000</v>
      </c>
      <c r="D5" s="10">
        <f>C5*Inputs!$B$5</f>
        <v>4920</v>
      </c>
      <c r="E5" s="10">
        <f>'Customer Growth'!B5*Inputs!$B$6</f>
        <v>28000</v>
      </c>
      <c r="F5" s="10">
        <f t="shared" si="0"/>
        <v>-23080</v>
      </c>
      <c r="G5" s="10">
        <f t="shared" si="1"/>
        <v>-48620</v>
      </c>
    </row>
    <row r="6" spans="1:7" x14ac:dyDescent="0.2">
      <c r="A6" s="20">
        <v>4</v>
      </c>
      <c r="B6" s="16">
        <f>'Customer Growth'!D6</f>
        <v>6</v>
      </c>
      <c r="C6" s="10">
        <f>B6*Inputs!$B$4</f>
        <v>9000</v>
      </c>
      <c r="D6" s="10">
        <f>C6*Inputs!$B$5</f>
        <v>7380</v>
      </c>
      <c r="E6" s="10">
        <f>'Customer Growth'!B6*Inputs!$B$6</f>
        <v>28000</v>
      </c>
      <c r="F6" s="10">
        <f t="shared" si="0"/>
        <v>-20620</v>
      </c>
      <c r="G6" s="10">
        <f t="shared" si="1"/>
        <v>-69240</v>
      </c>
    </row>
    <row r="7" spans="1:7" x14ac:dyDescent="0.2">
      <c r="A7" s="20">
        <v>5</v>
      </c>
      <c r="B7" s="16">
        <f>'Customer Growth'!D7</f>
        <v>8</v>
      </c>
      <c r="C7" s="10">
        <f>B7*Inputs!$B$4</f>
        <v>12000</v>
      </c>
      <c r="D7" s="10">
        <f>C7*Inputs!$B$5</f>
        <v>9840</v>
      </c>
      <c r="E7" s="10">
        <f>'Customer Growth'!B7*Inputs!$B$6</f>
        <v>28000</v>
      </c>
      <c r="F7" s="10">
        <f t="shared" si="0"/>
        <v>-18160</v>
      </c>
      <c r="G7" s="10">
        <f t="shared" si="1"/>
        <v>-87400</v>
      </c>
    </row>
    <row r="8" spans="1:7" x14ac:dyDescent="0.2">
      <c r="A8" s="20">
        <v>6</v>
      </c>
      <c r="B8" s="16">
        <f>'Customer Growth'!D8</f>
        <v>10</v>
      </c>
      <c r="C8" s="10">
        <f>B8*Inputs!$B$4</f>
        <v>15000</v>
      </c>
      <c r="D8" s="10">
        <f>C8*Inputs!$B$5</f>
        <v>12300</v>
      </c>
      <c r="E8" s="10">
        <f>'Customer Growth'!B8*Inputs!$B$6</f>
        <v>28000</v>
      </c>
      <c r="F8" s="10">
        <f t="shared" si="0"/>
        <v>-15700</v>
      </c>
      <c r="G8" s="10">
        <f t="shared" si="1"/>
        <v>-103100</v>
      </c>
    </row>
    <row r="9" spans="1:7" x14ac:dyDescent="0.2">
      <c r="A9" s="20">
        <v>7</v>
      </c>
      <c r="B9" s="16">
        <f>'Customer Growth'!D9</f>
        <v>12</v>
      </c>
      <c r="C9" s="10">
        <f>B9*Inputs!$B$4</f>
        <v>18000</v>
      </c>
      <c r="D9" s="10">
        <f>C9*Inputs!$B$5</f>
        <v>14760</v>
      </c>
      <c r="E9" s="10">
        <f>'Customer Growth'!B9*Inputs!$B$6</f>
        <v>28000</v>
      </c>
      <c r="F9" s="10">
        <f t="shared" si="0"/>
        <v>-13240</v>
      </c>
      <c r="G9" s="10">
        <f t="shared" si="1"/>
        <v>-116340</v>
      </c>
    </row>
    <row r="10" spans="1:7" x14ac:dyDescent="0.2">
      <c r="A10" s="20">
        <v>8</v>
      </c>
      <c r="B10" s="16">
        <f>'Customer Growth'!D10</f>
        <v>14</v>
      </c>
      <c r="C10" s="10">
        <f>B10*Inputs!$B$4</f>
        <v>21000</v>
      </c>
      <c r="D10" s="10">
        <f>C10*Inputs!$B$5</f>
        <v>17220</v>
      </c>
      <c r="E10" s="10">
        <f>'Customer Growth'!B10*Inputs!$B$6</f>
        <v>28000</v>
      </c>
      <c r="F10" s="10">
        <f t="shared" si="0"/>
        <v>-10780</v>
      </c>
      <c r="G10" s="10">
        <f t="shared" si="1"/>
        <v>-127120</v>
      </c>
    </row>
    <row r="11" spans="1:7" x14ac:dyDescent="0.2">
      <c r="A11" s="20">
        <v>9</v>
      </c>
      <c r="B11" s="16">
        <f>'Customer Growth'!D11</f>
        <v>16</v>
      </c>
      <c r="C11" s="10">
        <f>B11*Inputs!$B$4</f>
        <v>24000</v>
      </c>
      <c r="D11" s="10">
        <f>C11*Inputs!$B$5</f>
        <v>19680</v>
      </c>
      <c r="E11" s="10">
        <f>'Customer Growth'!B11*Inputs!$B$6</f>
        <v>28000</v>
      </c>
      <c r="F11" s="10">
        <f t="shared" si="0"/>
        <v>-8320</v>
      </c>
      <c r="G11" s="10">
        <f t="shared" si="1"/>
        <v>-135440</v>
      </c>
    </row>
    <row r="12" spans="1:7" x14ac:dyDescent="0.2">
      <c r="A12" s="20">
        <v>10</v>
      </c>
      <c r="B12" s="16">
        <f>'Customer Growth'!D12</f>
        <v>18</v>
      </c>
      <c r="C12" s="10">
        <f>B12*Inputs!$B$4</f>
        <v>27000</v>
      </c>
      <c r="D12" s="10">
        <f>C12*Inputs!$B$5</f>
        <v>22140</v>
      </c>
      <c r="E12" s="10">
        <f>'Customer Growth'!B12*Inputs!$B$6</f>
        <v>28000</v>
      </c>
      <c r="F12" s="10">
        <f t="shared" si="0"/>
        <v>-5860</v>
      </c>
      <c r="G12" s="10">
        <f t="shared" si="1"/>
        <v>-141300</v>
      </c>
    </row>
    <row r="13" spans="1:7" x14ac:dyDescent="0.2">
      <c r="A13" s="20">
        <v>11</v>
      </c>
      <c r="B13" s="16">
        <f>'Customer Growth'!D13</f>
        <v>20</v>
      </c>
      <c r="C13" s="10">
        <f>B13*Inputs!$B$4</f>
        <v>30000</v>
      </c>
      <c r="D13" s="10">
        <f>C13*Inputs!$B$5</f>
        <v>24600</v>
      </c>
      <c r="E13" s="10">
        <f>'Customer Growth'!B13*Inputs!$B$6</f>
        <v>28000</v>
      </c>
      <c r="F13" s="10">
        <f t="shared" si="0"/>
        <v>-3400</v>
      </c>
      <c r="G13" s="10">
        <f t="shared" si="1"/>
        <v>-144700</v>
      </c>
    </row>
    <row r="14" spans="1:7" x14ac:dyDescent="0.2">
      <c r="A14" s="20">
        <v>12</v>
      </c>
      <c r="B14" s="16">
        <f>'Customer Growth'!D14</f>
        <v>22</v>
      </c>
      <c r="C14" s="10">
        <f>B14*Inputs!$B$4</f>
        <v>33000</v>
      </c>
      <c r="D14" s="10">
        <f>C14*Inputs!$B$5</f>
        <v>27060</v>
      </c>
      <c r="E14" s="10">
        <f>'Customer Growth'!B14*Inputs!$B$6</f>
        <v>28000</v>
      </c>
      <c r="F14" s="10">
        <f t="shared" si="0"/>
        <v>-940</v>
      </c>
      <c r="G14" s="10">
        <f t="shared" si="1"/>
        <v>-145640</v>
      </c>
    </row>
    <row r="16" spans="1:7" ht="32" customHeight="1" x14ac:dyDescent="0.2">
      <c r="A16" s="12" t="s">
        <v>65</v>
      </c>
      <c r="B16" s="21"/>
      <c r="C16" s="21">
        <f>SUM(C3:C14)</f>
        <v>198000</v>
      </c>
      <c r="D16" s="22">
        <f>SUM(D3:D14)</f>
        <v>162360</v>
      </c>
      <c r="E16" s="22">
        <f>SUM(E3:E14)</f>
        <v>308000</v>
      </c>
      <c r="F16" s="10">
        <f>SUM(F3:F14)</f>
        <v>-145640</v>
      </c>
      <c r="G16" s="22">
        <f>G14</f>
        <v>-145640</v>
      </c>
    </row>
  </sheetData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"/>
  <sheetViews>
    <sheetView showGridLines="0" workbookViewId="0">
      <selection sqref="A1:F1"/>
    </sheetView>
  </sheetViews>
  <sheetFormatPr baseColWidth="10" defaultColWidth="8.83203125" defaultRowHeight="15" x14ac:dyDescent="0.2"/>
  <cols>
    <col min="1" max="1" width="18" customWidth="1"/>
    <col min="2" max="4" width="14" customWidth="1"/>
    <col min="5" max="5" width="3" customWidth="1"/>
    <col min="6" max="6" width="28" customWidth="1"/>
  </cols>
  <sheetData>
    <row r="1" spans="1:6" ht="28" customHeight="1" x14ac:dyDescent="0.2">
      <c r="A1" s="27" t="s">
        <v>66</v>
      </c>
      <c r="B1" s="28"/>
      <c r="C1" s="28"/>
      <c r="D1" s="28"/>
      <c r="E1" s="28"/>
      <c r="F1" s="28"/>
    </row>
    <row r="2" spans="1:6" ht="20" customHeight="1" x14ac:dyDescent="0.2">
      <c r="A2" s="1"/>
      <c r="B2" s="1" t="s">
        <v>67</v>
      </c>
      <c r="C2" s="1" t="s">
        <v>68</v>
      </c>
      <c r="D2" s="1" t="s">
        <v>69</v>
      </c>
      <c r="E2" s="1"/>
      <c r="F2" s="1" t="s">
        <v>57</v>
      </c>
    </row>
    <row r="3" spans="1:6" ht="16" customHeight="1" x14ac:dyDescent="0.2">
      <c r="A3" s="12" t="s">
        <v>70</v>
      </c>
      <c r="B3" s="23">
        <f>((Inputs!B4*Inputs!B5)*(1/0.01))/10000</f>
        <v>12.3</v>
      </c>
      <c r="C3" s="23">
        <f>((Inputs!B4*Inputs!B5)*(1/0.018))/10000</f>
        <v>6.833333333333333</v>
      </c>
      <c r="D3" s="23">
        <f>((Inputs!B4*Inputs!B5)*(1/0.03))/10000</f>
        <v>4.0999999999999996</v>
      </c>
      <c r="E3" s="24"/>
      <c r="F3" s="25" t="s">
        <v>71</v>
      </c>
    </row>
    <row r="4" spans="1:6" ht="16" customHeight="1" x14ac:dyDescent="0.2">
      <c r="A4" s="12" t="s">
        <v>72</v>
      </c>
      <c r="B4" s="23">
        <f>((Inputs!B4*Inputs!B5)*(1/0.01))/14000</f>
        <v>8.7857142857142865</v>
      </c>
      <c r="C4" s="23">
        <f>((Inputs!B4*Inputs!B5)*(1/0.018))/14000</f>
        <v>4.8809523809523805</v>
      </c>
      <c r="D4" s="23">
        <f>((Inputs!B4*Inputs!B5)*(1/0.03))/14000</f>
        <v>2.9285714285714284</v>
      </c>
      <c r="E4" s="24"/>
      <c r="F4" s="25" t="s">
        <v>71</v>
      </c>
    </row>
    <row r="5" spans="1:6" ht="16" customHeight="1" x14ac:dyDescent="0.2">
      <c r="A5" s="12" t="s">
        <v>73</v>
      </c>
      <c r="B5" s="23">
        <f>((Inputs!B4*Inputs!B5)*(1/0.01))/18000</f>
        <v>6.833333333333333</v>
      </c>
      <c r="C5" s="23">
        <f>((Inputs!B4*Inputs!B5)*(1/0.018))/18000</f>
        <v>3.7962962962962958</v>
      </c>
      <c r="D5" s="23">
        <f>((Inputs!B4*Inputs!B5)*(1/0.03))/18000</f>
        <v>2.2777777777777777</v>
      </c>
      <c r="E5" s="24"/>
      <c r="F5" s="25" t="s">
        <v>71</v>
      </c>
    </row>
    <row r="7" spans="1:6" ht="18" customHeight="1" x14ac:dyDescent="0.2">
      <c r="A7" s="18" t="s">
        <v>74</v>
      </c>
      <c r="B7" s="26">
        <f>'Unit Economics'!B8</f>
        <v>4.8809523809523805</v>
      </c>
      <c r="C7" s="17"/>
      <c r="D7" s="17"/>
      <c r="E7" s="24"/>
      <c r="F7" s="24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Inputs</vt:lpstr>
      <vt:lpstr>Unit Economics</vt:lpstr>
      <vt:lpstr>Customer Growth</vt:lpstr>
      <vt:lpstr>Revenue Model</vt:lpstr>
      <vt:lpstr>Sensitivity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Adam Lababidi</cp:lastModifiedBy>
  <dcterms:created xsi:type="dcterms:W3CDTF">2026-02-09T09:29:07Z</dcterms:created>
  <dcterms:modified xsi:type="dcterms:W3CDTF">2026-02-09T11:46:29Z</dcterms:modified>
</cp:coreProperties>
</file>